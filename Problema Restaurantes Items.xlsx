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iltrado Items" sheetId="1" r:id="rId4"/>
  </sheets>
  <definedNames/>
  <calcPr/>
  <extLst>
    <ext uri="GoogleSheetsCustomDataVersion2">
      <go:sheetsCustomData xmlns:go="http://customooxmlschemas.google.com/" r:id="rId5" roundtripDataChecksum="1x5/l4vjnd8qi65IOK0ZzhoG5uH8bkG0eDPh7qCwXZI="/>
    </ext>
  </extLst>
</workbook>
</file>

<file path=xl/sharedStrings.xml><?xml version="1.0" encoding="utf-8"?>
<sst xmlns="http://schemas.openxmlformats.org/spreadsheetml/2006/main" count="31" uniqueCount="23">
  <si>
    <t>Casa Carlos</t>
  </si>
  <si>
    <t>Bodegón Irene</t>
  </si>
  <si>
    <t>Tasca Iñigo</t>
  </si>
  <si>
    <t>Casa Aitor</t>
  </si>
  <si>
    <t>Guachinche Inés</t>
  </si>
  <si>
    <t>María</t>
  </si>
  <si>
    <t>¿?</t>
  </si>
  <si>
    <t>Jacob</t>
  </si>
  <si>
    <t>Patricia</t>
  </si>
  <si>
    <t>Rubén</t>
  </si>
  <si>
    <t>Desirée</t>
  </si>
  <si>
    <t>Paso 1. Similitud con Guachinche Inés</t>
  </si>
  <si>
    <t>Restaurante</t>
  </si>
  <si>
    <t>Pearson</t>
  </si>
  <si>
    <t>Nota de María</t>
  </si>
  <si>
    <t>Paso 2. Ítems vecinos (k=2)</t>
  </si>
  <si>
    <t>(Seleccionamos los dos restaurantes con mayor similitud)</t>
  </si>
  <si>
    <t>Vecino</t>
  </si>
  <si>
    <t>Similitud</t>
  </si>
  <si>
    <t>Paso 3. Predicciones</t>
  </si>
  <si>
    <t>Medias Globales (Todos los usuarios)</t>
  </si>
  <si>
    <t>Predicción Simple</t>
  </si>
  <si>
    <t>Pred. Diferencia Medias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</si>
</sst>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  <font>
      <b/>
      <color rgb="FFFFFFFF"/>
      <name val="Calibri"/>
      <scheme val="minor"/>
    </font>
    <font>
      <color rgb="FFFFFFFF"/>
      <name val="Calibri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4F81BD"/>
        <bgColor rgb="FF4F81BD"/>
      </patternFill>
    </fill>
    <fill>
      <patternFill patternType="solid">
        <fgColor rgb="FFA2C4C9"/>
        <bgColor rgb="FFA2C4C9"/>
      </patternFill>
    </fill>
  </fills>
  <borders count="5">
    <border/>
    <border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0" fontId="2" numFmtId="0" xfId="0" applyBorder="1" applyFont="1"/>
    <xf borderId="2" fillId="2" fontId="3" numFmtId="0" xfId="0" applyAlignment="1" applyBorder="1" applyFill="1" applyFont="1">
      <alignment horizontal="center"/>
    </xf>
    <xf borderId="3" fillId="2" fontId="3" numFmtId="0" xfId="0" applyAlignment="1" applyBorder="1" applyFill="1" applyFont="1">
      <alignment horizontal="center"/>
    </xf>
    <xf borderId="4" fillId="0" fontId="1" numFmtId="0" xfId="0" applyBorder="1" applyFont="1"/>
    <xf borderId="3" fillId="0" fontId="2" numFmtId="0" xfId="0" applyBorder="1" applyFont="1"/>
    <xf borderId="3" fillId="0" fontId="2" numFmtId="0" xfId="0" applyBorder="1" applyFont="1"/>
    <xf borderId="0" fillId="0" fontId="1" numFmtId="0" xfId="0" applyAlignment="1" applyFont="1">
      <alignment readingOrder="0"/>
    </xf>
    <xf borderId="3" fillId="2" fontId="3" numFmtId="0" xfId="0" applyAlignment="1" applyBorder="1" applyFill="1" applyFont="1">
      <alignment horizontal="center" readingOrder="0"/>
    </xf>
    <xf borderId="3" fillId="0" fontId="1" numFmtId="0" xfId="0" applyBorder="1" applyFont="1"/>
    <xf borderId="3" fillId="3" fontId="2" numFmtId="0" xfId="0" applyBorder="1" applyFill="1" applyFont="1"/>
    <xf borderId="3" fillId="0" fontId="2" numFmtId="0" xfId="0" applyAlignment="1" applyBorder="1" applyFont="1">
      <alignment readingOrder="0"/>
    </xf>
    <xf borderId="0" fillId="0" fontId="2" numFmtId="0" xfId="0" applyFont="1"/>
    <xf borderId="0" fillId="2" fontId="3" numFmtId="0" xfId="0" applyFill="1" applyFont="1"/>
    <xf borderId="0" fillId="2" fontId="4" numFmtId="0" xfId="0" applyFill="1" applyFont="1"/>
    <xf borderId="3" fillId="0" fontId="1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2.57"/>
    <col customWidth="1" min="2" max="6" width="20.0"/>
    <col customWidth="1" min="7" max="26" width="8.71"/>
  </cols>
  <sheetData>
    <row r="1">
      <c r="A1" s="1"/>
    </row>
    <row r="2">
      <c r="A2" s="2"/>
      <c r="B2" s="3" t="s">
        <v>0</v>
      </c>
      <c r="C2" s="4" t="s">
        <v>1</v>
      </c>
      <c r="D2" s="4" t="s">
        <v>2</v>
      </c>
      <c r="E2" s="4" t="s">
        <v>3</v>
      </c>
      <c r="F2" s="4" t="s">
        <v>4</v>
      </c>
    </row>
    <row r="3">
      <c r="A3" s="5" t="s">
        <v>5</v>
      </c>
      <c r="B3" s="6">
        <v>5.0</v>
      </c>
      <c r="C3" s="6">
        <v>3.0</v>
      </c>
      <c r="D3" s="6">
        <v>4.0</v>
      </c>
      <c r="E3" s="6">
        <v>4.0</v>
      </c>
      <c r="F3" s="6" t="s">
        <v>6</v>
      </c>
    </row>
    <row r="4">
      <c r="A4" s="7" t="s">
        <v>7</v>
      </c>
      <c r="B4" s="6">
        <v>3.0</v>
      </c>
      <c r="C4" s="6">
        <v>1.0</v>
      </c>
      <c r="D4" s="6">
        <v>2.0</v>
      </c>
      <c r="E4" s="6">
        <v>3.0</v>
      </c>
      <c r="F4" s="6">
        <v>3.0</v>
      </c>
    </row>
    <row r="5">
      <c r="A5" s="7" t="s">
        <v>8</v>
      </c>
      <c r="B5" s="6">
        <v>4.0</v>
      </c>
      <c r="C5" s="6">
        <v>3.0</v>
      </c>
      <c r="D5" s="6">
        <v>4.0</v>
      </c>
      <c r="E5" s="6">
        <v>3.0</v>
      </c>
      <c r="F5" s="6">
        <v>4.0</v>
      </c>
    </row>
    <row r="6">
      <c r="A6" s="7" t="s">
        <v>9</v>
      </c>
      <c r="B6" s="6">
        <v>3.0</v>
      </c>
      <c r="C6" s="6">
        <v>3.0</v>
      </c>
      <c r="D6" s="6">
        <v>1.0</v>
      </c>
      <c r="E6" s="6">
        <v>5.0</v>
      </c>
      <c r="F6" s="6">
        <v>4.0</v>
      </c>
    </row>
    <row r="7">
      <c r="A7" s="7" t="s">
        <v>10</v>
      </c>
      <c r="B7" s="6">
        <v>1.0</v>
      </c>
      <c r="C7" s="6">
        <v>4.0</v>
      </c>
      <c r="D7" s="6">
        <v>4.0</v>
      </c>
      <c r="E7" s="6">
        <v>2.0</v>
      </c>
      <c r="F7" s="6">
        <v>1.0</v>
      </c>
    </row>
    <row r="10">
      <c r="A10" s="8" t="s">
        <v>11</v>
      </c>
    </row>
    <row r="11">
      <c r="A11" s="4" t="s">
        <v>12</v>
      </c>
      <c r="B11" s="9" t="s">
        <v>13</v>
      </c>
      <c r="C11" s="4" t="s">
        <v>14</v>
      </c>
    </row>
    <row r="12">
      <c r="A12" s="10" t="s">
        <v>0</v>
      </c>
      <c r="B12" s="11">
        <f>CORREL(B4:B7, $F$4:$F$7)</f>
        <v>0.9365858116</v>
      </c>
      <c r="C12" s="12">
        <f>B3</f>
        <v>5</v>
      </c>
    </row>
    <row r="13">
      <c r="A13" s="10" t="s">
        <v>1</v>
      </c>
      <c r="B13" s="6">
        <f>CORREL(C4:C7, $F$4:$F$7)</f>
        <v>-0.3746343246</v>
      </c>
      <c r="C13" s="6">
        <f>C3</f>
        <v>3</v>
      </c>
    </row>
    <row r="14">
      <c r="A14" s="10" t="s">
        <v>2</v>
      </c>
      <c r="B14" s="6">
        <f>CORREL(D4:D7, $F$4:$F$7)</f>
        <v>-0.4714045208</v>
      </c>
      <c r="C14" s="6">
        <f>D3</f>
        <v>4</v>
      </c>
    </row>
    <row r="15">
      <c r="A15" s="10" t="s">
        <v>3</v>
      </c>
      <c r="B15" s="11">
        <f>CORREL(E4:E7, $F$4:$F$7)</f>
        <v>0.7492686493</v>
      </c>
      <c r="C15" s="6">
        <f>E3</f>
        <v>4</v>
      </c>
    </row>
    <row r="17">
      <c r="A17" s="1" t="s">
        <v>15</v>
      </c>
    </row>
    <row r="18">
      <c r="A18" s="13" t="s">
        <v>16</v>
      </c>
    </row>
    <row r="19">
      <c r="A19" s="4" t="s">
        <v>17</v>
      </c>
      <c r="B19" s="4" t="s">
        <v>18</v>
      </c>
      <c r="C19" s="4" t="s">
        <v>14</v>
      </c>
    </row>
    <row r="20">
      <c r="A20" s="10" t="str">
        <f t="shared" ref="A20:C20" si="1">A12</f>
        <v>Casa Carlos</v>
      </c>
      <c r="B20" s="6">
        <f t="shared" si="1"/>
        <v>0.9365858116</v>
      </c>
      <c r="C20" s="6">
        <f t="shared" si="1"/>
        <v>5</v>
      </c>
    </row>
    <row r="21" ht="15.75" customHeight="1">
      <c r="A21" s="10" t="str">
        <f t="shared" ref="A21:C21" si="2">A15</f>
        <v>Casa Aitor</v>
      </c>
      <c r="B21" s="6">
        <f t="shared" si="2"/>
        <v>0.7492686493</v>
      </c>
      <c r="C21" s="6">
        <f t="shared" si="2"/>
        <v>4</v>
      </c>
    </row>
    <row r="22" ht="15.75" customHeight="1"/>
    <row r="23" ht="15.75" customHeight="1">
      <c r="A23" s="1" t="s">
        <v>19</v>
      </c>
    </row>
    <row r="24" ht="15.75" customHeight="1">
      <c r="A24" s="14" t="s">
        <v>20</v>
      </c>
      <c r="B24" s="15"/>
    </row>
    <row r="25" ht="15.75" customHeight="1">
      <c r="A25" s="16" t="s">
        <v>0</v>
      </c>
      <c r="B25" s="6">
        <f>AVERAGE(B3:B7)</f>
        <v>3.2</v>
      </c>
    </row>
    <row r="26" ht="15.75" customHeight="1">
      <c r="A26" s="16" t="s">
        <v>3</v>
      </c>
      <c r="B26" s="6">
        <f>AVERAGE(E3:E7)</f>
        <v>3.4</v>
      </c>
    </row>
    <row r="27" ht="15.75" customHeight="1">
      <c r="A27" s="16" t="s">
        <v>4</v>
      </c>
      <c r="B27" s="6">
        <f>AVERAGE(F4:F7)</f>
        <v>3</v>
      </c>
    </row>
    <row r="28" ht="15.75" customHeight="1"/>
    <row r="29" ht="15.75" customHeight="1">
      <c r="A29" s="1" t="s">
        <v>21</v>
      </c>
      <c r="B29" s="13">
        <f>(B20*C20 + B21*C21) / (ABS(B20) + ABS(B21))</f>
        <v>4.555555556</v>
      </c>
    </row>
    <row r="30" ht="15.75" customHeight="1"/>
    <row r="31" ht="15.75" customHeight="1">
      <c r="A31" s="1" t="s">
        <v>22</v>
      </c>
      <c r="B31" s="13">
        <f>B27 + (B20*(C20-B25) + B21*(C21-B26)) / (ABS(B20) + ABS(B21))</f>
        <v>4.266666667</v>
      </c>
    </row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2026-10-26T12:06:47Z</dcterms:created>
  <dc:creator>openpyxl</dc:creator>
</cp:coreProperties>
</file>