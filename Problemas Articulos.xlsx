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F-IDF Logaritmico" sheetId="1" r:id="rId4"/>
  </sheets>
  <definedNames/>
  <calcPr/>
  <extLst>
    <ext uri="GoogleSheetsCustomDataVersion2">
      <go:sheetsCustomData xmlns:go="http://customooxmlschemas.google.com/" r:id="rId5" roundtripDataChecksum="jjKnJQp0bzNpV66enwXToJGzjjWmoW9KRLBwBo6F14k="/>
    </ext>
  </extLst>
</workbook>
</file>

<file path=xl/sharedStrings.xml><?xml version="1.0" encoding="utf-8"?>
<sst xmlns="http://schemas.openxmlformats.org/spreadsheetml/2006/main" count="70" uniqueCount="26">
  <si>
    <t>Total Documentos (N)</t>
  </si>
  <si>
    <t>Recomendador</t>
  </si>
  <si>
    <t>Conocimiento</t>
  </si>
  <si>
    <t>Ontología</t>
  </si>
  <si>
    <t>Web</t>
  </si>
  <si>
    <t>Prototipo</t>
  </si>
  <si>
    <t>Artículo 1</t>
  </si>
  <si>
    <t>Artículo 2</t>
  </si>
  <si>
    <t>Artículo 3</t>
  </si>
  <si>
    <t>Artículo 4</t>
  </si>
  <si>
    <t>Artículo 5</t>
  </si>
  <si>
    <t>Artículo 6</t>
  </si>
  <si>
    <t>DF</t>
  </si>
  <si>
    <t>1. TF (1 + log10(f))</t>
  </si>
  <si>
    <t>2. IDF (log10(N/DF))</t>
  </si>
  <si>
    <t>IDF</t>
  </si>
  <si>
    <t>3. TF-IDF (TF * IDF)</t>
  </si>
  <si>
    <t>4. Vectores Normalizados de cada artículo</t>
  </si>
  <si>
    <t>Longitud |d|</t>
  </si>
  <si>
    <t>5. Similaridad</t>
  </si>
  <si>
    <t>A1</t>
  </si>
  <si>
    <t>A2</t>
  </si>
  <si>
    <t>A3</t>
  </si>
  <si>
    <t>A4</t>
  </si>
  <si>
    <t>A5</t>
  </si>
  <si>
    <t>A6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</si>
</sst>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0" fontId="1" numFmtId="0" xfId="0" applyBorder="1" applyFont="1"/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ill="1" applyFont="1">
      <alignment horizontal="center"/>
    </xf>
    <xf borderId="4" fillId="0" fontId="1" numFmtId="0" xfId="0" applyBorder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7" width="18.0"/>
    <col customWidth="1" min="8" max="26" width="8.71"/>
  </cols>
  <sheetData>
    <row r="1">
      <c r="A1" s="1" t="s">
        <v>0</v>
      </c>
      <c r="B1" s="2">
        <v>200000.0</v>
      </c>
    </row>
    <row r="3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>
      <c r="A4" s="4" t="s">
        <v>6</v>
      </c>
      <c r="B4" s="5">
        <v>49.0</v>
      </c>
      <c r="C4" s="5">
        <v>83.0</v>
      </c>
      <c r="D4" s="5">
        <v>62.0</v>
      </c>
      <c r="E4" s="5">
        <v>31.0</v>
      </c>
      <c r="F4" s="5">
        <v>48.0</v>
      </c>
    </row>
    <row r="5">
      <c r="A5" s="4" t="s">
        <v>7</v>
      </c>
      <c r="B5" s="5">
        <v>74.0</v>
      </c>
      <c r="C5" s="5">
        <v>64.0</v>
      </c>
      <c r="D5" s="5">
        <v>53.0</v>
      </c>
      <c r="E5" s="5">
        <v>0.0</v>
      </c>
      <c r="F5" s="5">
        <v>9.0</v>
      </c>
    </row>
    <row r="6">
      <c r="A6" s="4" t="s">
        <v>8</v>
      </c>
      <c r="B6" s="5">
        <v>10.0</v>
      </c>
      <c r="C6" s="5">
        <v>7.0</v>
      </c>
      <c r="D6" s="5">
        <v>34.0</v>
      </c>
      <c r="E6" s="5">
        <v>27.0</v>
      </c>
      <c r="F6" s="5">
        <v>65.0</v>
      </c>
    </row>
    <row r="7">
      <c r="A7" s="4" t="s">
        <v>9</v>
      </c>
      <c r="B7" s="5">
        <v>16.0</v>
      </c>
      <c r="C7" s="5">
        <v>34.0</v>
      </c>
      <c r="D7" s="5">
        <v>30.0</v>
      </c>
      <c r="E7" s="5">
        <v>21.0</v>
      </c>
      <c r="F7" s="5">
        <v>14.0</v>
      </c>
    </row>
    <row r="8">
      <c r="A8" s="4" t="s">
        <v>10</v>
      </c>
      <c r="B8" s="5">
        <v>84.0</v>
      </c>
      <c r="C8" s="5">
        <v>51.0</v>
      </c>
      <c r="D8" s="5">
        <v>20.0</v>
      </c>
      <c r="E8" s="5">
        <v>28.0</v>
      </c>
      <c r="F8" s="5">
        <v>19.0</v>
      </c>
    </row>
    <row r="9">
      <c r="A9" s="4" t="s">
        <v>11</v>
      </c>
      <c r="B9" s="5">
        <v>16.0</v>
      </c>
      <c r="C9" s="5">
        <v>24.0</v>
      </c>
      <c r="D9" s="5">
        <v>21.0</v>
      </c>
      <c r="E9" s="5">
        <v>60.0</v>
      </c>
      <c r="F9" s="5">
        <v>42.0</v>
      </c>
    </row>
    <row r="11">
      <c r="A11" s="1" t="s">
        <v>12</v>
      </c>
      <c r="B11" s="2">
        <v>6000.0</v>
      </c>
      <c r="C11" s="2">
        <v>14000.0</v>
      </c>
      <c r="D11" s="2">
        <v>12000.0</v>
      </c>
      <c r="E11" s="2">
        <v>100000.0</v>
      </c>
      <c r="F11" s="2">
        <v>5000.0</v>
      </c>
    </row>
    <row r="13">
      <c r="A13" s="1" t="s">
        <v>13</v>
      </c>
    </row>
    <row r="14">
      <c r="A14" s="6"/>
      <c r="B14" s="7" t="s">
        <v>1</v>
      </c>
      <c r="C14" s="3" t="s">
        <v>2</v>
      </c>
      <c r="D14" s="3" t="s">
        <v>3</v>
      </c>
      <c r="E14" s="3" t="s">
        <v>4</v>
      </c>
      <c r="F14" s="3" t="s">
        <v>5</v>
      </c>
    </row>
    <row r="15">
      <c r="A15" s="8" t="s">
        <v>6</v>
      </c>
      <c r="B15" s="5">
        <f t="shared" ref="B15:F15" si="1">IF(B4&gt;0, 1+LOG10(B4), 0)</f>
        <v>2.69019608</v>
      </c>
      <c r="C15" s="5">
        <f t="shared" si="1"/>
        <v>2.919078092</v>
      </c>
      <c r="D15" s="5">
        <f t="shared" si="1"/>
        <v>2.792391689</v>
      </c>
      <c r="E15" s="5">
        <f t="shared" si="1"/>
        <v>2.491361694</v>
      </c>
      <c r="F15" s="5">
        <f t="shared" si="1"/>
        <v>2.681241237</v>
      </c>
    </row>
    <row r="16">
      <c r="A16" s="4" t="s">
        <v>7</v>
      </c>
      <c r="B16" s="5">
        <f t="shared" ref="B16:F16" si="2">IF(B5&gt;0, 1+LOG10(B5), 0)</f>
        <v>2.86923172</v>
      </c>
      <c r="C16" s="5">
        <f t="shared" si="2"/>
        <v>2.806179974</v>
      </c>
      <c r="D16" s="5">
        <f t="shared" si="2"/>
        <v>2.72427587</v>
      </c>
      <c r="E16" s="5">
        <f t="shared" si="2"/>
        <v>0</v>
      </c>
      <c r="F16" s="5">
        <f t="shared" si="2"/>
        <v>1.954242509</v>
      </c>
    </row>
    <row r="17">
      <c r="A17" s="4" t="s">
        <v>8</v>
      </c>
      <c r="B17" s="5">
        <f t="shared" ref="B17:F17" si="3">IF(B6&gt;0, 1+LOG10(B6), 0)</f>
        <v>2</v>
      </c>
      <c r="C17" s="5">
        <f t="shared" si="3"/>
        <v>1.84509804</v>
      </c>
      <c r="D17" s="5">
        <f t="shared" si="3"/>
        <v>2.531478917</v>
      </c>
      <c r="E17" s="5">
        <f t="shared" si="3"/>
        <v>2.431363764</v>
      </c>
      <c r="F17" s="5">
        <f t="shared" si="3"/>
        <v>2.812913357</v>
      </c>
    </row>
    <row r="18">
      <c r="A18" s="4" t="s">
        <v>9</v>
      </c>
      <c r="B18" s="5">
        <f t="shared" ref="B18:F18" si="4">IF(B7&gt;0, 1+LOG10(B7), 0)</f>
        <v>2.204119983</v>
      </c>
      <c r="C18" s="5">
        <f t="shared" si="4"/>
        <v>2.531478917</v>
      </c>
      <c r="D18" s="5">
        <f t="shared" si="4"/>
        <v>2.477121255</v>
      </c>
      <c r="E18" s="5">
        <f t="shared" si="4"/>
        <v>2.322219295</v>
      </c>
      <c r="F18" s="5">
        <f t="shared" si="4"/>
        <v>2.146128036</v>
      </c>
    </row>
    <row r="19">
      <c r="A19" s="4" t="s">
        <v>10</v>
      </c>
      <c r="B19" s="5">
        <f t="shared" ref="B19:F19" si="5">IF(B8&gt;0, 1+LOG10(B8), 0)</f>
        <v>2.924279286</v>
      </c>
      <c r="C19" s="5">
        <f t="shared" si="5"/>
        <v>2.707570176</v>
      </c>
      <c r="D19" s="5">
        <f t="shared" si="5"/>
        <v>2.301029996</v>
      </c>
      <c r="E19" s="5">
        <f t="shared" si="5"/>
        <v>2.447158031</v>
      </c>
      <c r="F19" s="5">
        <f t="shared" si="5"/>
        <v>2.278753601</v>
      </c>
    </row>
    <row r="20">
      <c r="A20" s="4" t="s">
        <v>11</v>
      </c>
      <c r="B20" s="5">
        <f t="shared" ref="B20:F20" si="6">IF(B9&gt;0, 1+LOG10(B9), 0)</f>
        <v>2.204119983</v>
      </c>
      <c r="C20" s="5">
        <f t="shared" si="6"/>
        <v>2.380211242</v>
      </c>
      <c r="D20" s="5">
        <f t="shared" si="6"/>
        <v>2.322219295</v>
      </c>
      <c r="E20" s="5">
        <f t="shared" si="6"/>
        <v>2.77815125</v>
      </c>
      <c r="F20" s="5">
        <f t="shared" si="6"/>
        <v>2.62324929</v>
      </c>
    </row>
    <row r="21" ht="15.75" customHeight="1"/>
    <row r="22" ht="15.75" customHeight="1">
      <c r="A22" s="1" t="s">
        <v>14</v>
      </c>
    </row>
    <row r="23" ht="15.75" customHeight="1">
      <c r="B23" s="3" t="s">
        <v>1</v>
      </c>
      <c r="C23" s="3" t="s">
        <v>2</v>
      </c>
      <c r="D23" s="3" t="s">
        <v>3</v>
      </c>
      <c r="E23" s="3" t="s">
        <v>4</v>
      </c>
      <c r="F23" s="3" t="s">
        <v>5</v>
      </c>
    </row>
    <row r="24" ht="15.75" customHeight="1">
      <c r="A24" s="1" t="s">
        <v>15</v>
      </c>
      <c r="B24" s="2">
        <f t="shared" ref="B24:F24" si="7">LOG10($B$1/B11)</f>
        <v>1.522878745</v>
      </c>
      <c r="C24" s="2">
        <f t="shared" si="7"/>
        <v>1.15490196</v>
      </c>
      <c r="D24" s="2">
        <f t="shared" si="7"/>
        <v>1.22184875</v>
      </c>
      <c r="E24" s="2">
        <f t="shared" si="7"/>
        <v>0.3010299957</v>
      </c>
      <c r="F24" s="2">
        <f t="shared" si="7"/>
        <v>1.602059991</v>
      </c>
    </row>
    <row r="25" ht="15.75" customHeight="1"/>
    <row r="26" ht="15.75" customHeight="1">
      <c r="A26" s="1" t="s">
        <v>16</v>
      </c>
    </row>
    <row r="27" ht="15.75" customHeight="1">
      <c r="B27" s="3" t="s">
        <v>1</v>
      </c>
      <c r="C27" s="3" t="s">
        <v>2</v>
      </c>
      <c r="D27" s="3" t="s">
        <v>3</v>
      </c>
      <c r="E27" s="3" t="s">
        <v>4</v>
      </c>
      <c r="F27" s="3" t="s">
        <v>5</v>
      </c>
    </row>
    <row r="28" ht="15.75" customHeight="1">
      <c r="A28" s="1" t="s">
        <v>6</v>
      </c>
      <c r="B28" s="2">
        <f t="shared" ref="B28:F28" si="8">B15*B$24</f>
        <v>4.096842431</v>
      </c>
      <c r="C28" s="2">
        <f t="shared" si="8"/>
        <v>3.37124901</v>
      </c>
      <c r="D28" s="2">
        <f t="shared" si="8"/>
        <v>3.411880294</v>
      </c>
      <c r="E28" s="2">
        <f t="shared" si="8"/>
        <v>0.7499745999</v>
      </c>
      <c r="F28" s="2">
        <f t="shared" si="8"/>
        <v>4.295509313</v>
      </c>
    </row>
    <row r="29" ht="15.75" customHeight="1">
      <c r="A29" s="1" t="s">
        <v>7</v>
      </c>
      <c r="B29" s="2">
        <f t="shared" ref="B29:F29" si="9">B16*B$24</f>
        <v>4.369492001</v>
      </c>
      <c r="C29" s="2">
        <f t="shared" si="9"/>
        <v>3.240862752</v>
      </c>
      <c r="D29" s="2">
        <f t="shared" si="9"/>
        <v>3.328653065</v>
      </c>
      <c r="E29" s="2">
        <f t="shared" si="9"/>
        <v>0</v>
      </c>
      <c r="F29" s="2">
        <f t="shared" si="9"/>
        <v>3.130813738</v>
      </c>
    </row>
    <row r="30" ht="15.75" customHeight="1">
      <c r="A30" s="1" t="s">
        <v>8</v>
      </c>
      <c r="B30" s="2">
        <f t="shared" ref="B30:F30" si="10">B17*B$24</f>
        <v>3.045757491</v>
      </c>
      <c r="C30" s="2">
        <f t="shared" si="10"/>
        <v>2.130907343</v>
      </c>
      <c r="D30" s="2">
        <f t="shared" si="10"/>
        <v>3.093084349</v>
      </c>
      <c r="E30" s="2">
        <f t="shared" si="10"/>
        <v>0.7319134234</v>
      </c>
      <c r="F30" s="2">
        <f t="shared" si="10"/>
        <v>4.506455948</v>
      </c>
    </row>
    <row r="31" ht="15.75" customHeight="1">
      <c r="A31" s="1" t="s">
        <v>9</v>
      </c>
      <c r="B31" s="2">
        <f t="shared" ref="B31:F31" si="11">B18*B$24</f>
        <v>3.356607474</v>
      </c>
      <c r="C31" s="2">
        <f t="shared" si="11"/>
        <v>2.923609963</v>
      </c>
      <c r="D31" s="2">
        <f t="shared" si="11"/>
        <v>3.026667508</v>
      </c>
      <c r="E31" s="2">
        <f t="shared" si="11"/>
        <v>0.6990576642</v>
      </c>
      <c r="F31" s="2">
        <f t="shared" si="11"/>
        <v>3.438225862</v>
      </c>
    </row>
    <row r="32" ht="15.75" customHeight="1">
      <c r="A32" s="1" t="s">
        <v>10</v>
      </c>
      <c r="B32" s="2">
        <f t="shared" ref="B32:F32" si="12">B19*B$24</f>
        <v>4.45332277</v>
      </c>
      <c r="C32" s="2">
        <f t="shared" si="12"/>
        <v>3.126978103</v>
      </c>
      <c r="D32" s="2">
        <f t="shared" si="12"/>
        <v>2.811510623</v>
      </c>
      <c r="E32" s="2">
        <f t="shared" si="12"/>
        <v>0.7366679716</v>
      </c>
      <c r="F32" s="2">
        <f t="shared" si="12"/>
        <v>3.650699974</v>
      </c>
    </row>
    <row r="33" ht="15.75" customHeight="1">
      <c r="A33" s="1" t="s">
        <v>11</v>
      </c>
      <c r="B33" s="2">
        <f t="shared" ref="B33:F33" si="13">B20*B$24</f>
        <v>3.356607474</v>
      </c>
      <c r="C33" s="2">
        <f t="shared" si="13"/>
        <v>2.748910628</v>
      </c>
      <c r="D33" s="2">
        <f t="shared" si="13"/>
        <v>2.837400742</v>
      </c>
      <c r="E33" s="2">
        <f t="shared" si="13"/>
        <v>0.8363068589</v>
      </c>
      <c r="F33" s="2">
        <f t="shared" si="13"/>
        <v>4.202602735</v>
      </c>
    </row>
    <row r="34" ht="15.75" customHeight="1"/>
    <row r="35" ht="15.75" customHeight="1">
      <c r="A35" s="9" t="s">
        <v>17</v>
      </c>
    </row>
    <row r="36" ht="15.75" customHeight="1">
      <c r="B36" s="3" t="s">
        <v>1</v>
      </c>
      <c r="C36" s="3" t="s">
        <v>2</v>
      </c>
      <c r="D36" s="3" t="s">
        <v>3</v>
      </c>
      <c r="E36" s="3" t="s">
        <v>4</v>
      </c>
      <c r="F36" s="3" t="s">
        <v>5</v>
      </c>
      <c r="G36" s="1" t="s">
        <v>18</v>
      </c>
    </row>
    <row r="37" ht="15.75" customHeight="1">
      <c r="A37" s="1" t="s">
        <v>6</v>
      </c>
      <c r="B37" s="2">
        <f t="shared" ref="B37:F37" si="14">B28/$G$37</f>
        <v>0.5342505621</v>
      </c>
      <c r="C37" s="2">
        <f t="shared" si="14"/>
        <v>0.4396292289</v>
      </c>
      <c r="D37" s="2">
        <f t="shared" si="14"/>
        <v>0.4449277696</v>
      </c>
      <c r="E37" s="2">
        <f t="shared" si="14"/>
        <v>0.09780077177</v>
      </c>
      <c r="F37" s="2">
        <f t="shared" si="14"/>
        <v>0.5601578054</v>
      </c>
      <c r="G37" s="2">
        <f t="shared" ref="G37:G42" si="16">SQRT(SUMSQ(B28:F28))</f>
        <v>7.668391428</v>
      </c>
    </row>
    <row r="38" ht="15.75" customHeight="1">
      <c r="A38" s="1" t="s">
        <v>7</v>
      </c>
      <c r="B38" s="2">
        <f t="shared" ref="B38:F38" si="15">B29/$G$38</f>
        <v>0.6150093183</v>
      </c>
      <c r="C38" s="2">
        <f t="shared" si="15"/>
        <v>0.4561538942</v>
      </c>
      <c r="D38" s="2">
        <f t="shared" si="15"/>
        <v>0.4685104474</v>
      </c>
      <c r="E38" s="2">
        <f t="shared" si="15"/>
        <v>0</v>
      </c>
      <c r="F38" s="2">
        <f t="shared" si="15"/>
        <v>0.4406644118</v>
      </c>
      <c r="G38" s="2">
        <f t="shared" si="16"/>
        <v>7.104757393</v>
      </c>
    </row>
    <row r="39" ht="15.75" customHeight="1">
      <c r="A39" s="1" t="s">
        <v>8</v>
      </c>
      <c r="B39" s="2">
        <f t="shared" ref="B39:F39" si="17">B30/$G$39</f>
        <v>0.4579780019</v>
      </c>
      <c r="C39" s="2">
        <f t="shared" si="17"/>
        <v>0.3204157554</v>
      </c>
      <c r="D39" s="2">
        <f t="shared" si="17"/>
        <v>0.4650943466</v>
      </c>
      <c r="E39" s="2">
        <f t="shared" si="17"/>
        <v>0.1100548052</v>
      </c>
      <c r="F39" s="2">
        <f t="shared" si="17"/>
        <v>0.6776172091</v>
      </c>
      <c r="G39" s="2">
        <f t="shared" si="16"/>
        <v>6.650444952</v>
      </c>
    </row>
    <row r="40" ht="15.75" customHeight="1">
      <c r="A40" s="1" t="s">
        <v>9</v>
      </c>
      <c r="B40" s="2">
        <f t="shared" ref="B40:F40" si="18">B31/$G$40</f>
        <v>0.5224008399</v>
      </c>
      <c r="C40" s="2">
        <f t="shared" si="18"/>
        <v>0.4550118869</v>
      </c>
      <c r="D40" s="2">
        <f t="shared" si="18"/>
        <v>0.4710511016</v>
      </c>
      <c r="E40" s="2">
        <f t="shared" si="18"/>
        <v>0.1087968474</v>
      </c>
      <c r="F40" s="2">
        <f t="shared" si="18"/>
        <v>0.535103402</v>
      </c>
      <c r="G40" s="2">
        <f t="shared" si="16"/>
        <v>6.425348539</v>
      </c>
    </row>
    <row r="41" ht="15.75" customHeight="1">
      <c r="A41" s="1" t="s">
        <v>10</v>
      </c>
      <c r="B41" s="2">
        <f t="shared" ref="B41:F41" si="19">B32/$G$41</f>
        <v>0.6212496706</v>
      </c>
      <c r="C41" s="2">
        <f t="shared" si="19"/>
        <v>0.4362212704</v>
      </c>
      <c r="D41" s="2">
        <f t="shared" si="19"/>
        <v>0.3922127675</v>
      </c>
      <c r="E41" s="2">
        <f t="shared" si="19"/>
        <v>0.1027670255</v>
      </c>
      <c r="F41" s="2">
        <f t="shared" si="19"/>
        <v>0.509281782</v>
      </c>
      <c r="G41" s="2">
        <f t="shared" si="16"/>
        <v>7.168330192</v>
      </c>
    </row>
    <row r="42" ht="15.75" customHeight="1">
      <c r="A42" s="1" t="s">
        <v>11</v>
      </c>
      <c r="B42" s="2">
        <f t="shared" ref="B42:F42" si="20">B33/$G$42</f>
        <v>0.4990696071</v>
      </c>
      <c r="C42" s="2">
        <f t="shared" si="20"/>
        <v>0.408715573</v>
      </c>
      <c r="D42" s="2">
        <f t="shared" si="20"/>
        <v>0.4218725258</v>
      </c>
      <c r="E42" s="2">
        <f t="shared" si="20"/>
        <v>0.1243443979</v>
      </c>
      <c r="F42" s="2">
        <f t="shared" si="20"/>
        <v>0.6248545033</v>
      </c>
      <c r="G42" s="2">
        <f t="shared" si="16"/>
        <v>6.725730091</v>
      </c>
    </row>
    <row r="43" ht="15.75" customHeight="1"/>
    <row r="44" ht="15.75" customHeight="1"/>
    <row r="45" ht="15.75" customHeight="1">
      <c r="A45" s="1" t="s">
        <v>19</v>
      </c>
    </row>
    <row r="46" ht="15.75" customHeight="1"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</row>
    <row r="47" ht="15.75" customHeight="1">
      <c r="A47" s="1" t="s">
        <v>20</v>
      </c>
      <c r="B47" s="2">
        <f>SUMPRODUCT($B$37:$F$37, $B$37:$F$37)</f>
        <v>1</v>
      </c>
      <c r="C47" s="2">
        <f>SUMPRODUCT($B$37:$F$37, $B$38:$F$38)</f>
        <v>0.984402577</v>
      </c>
      <c r="D47" s="2">
        <f>SUMPRODUCT($B$37:$F$37, $B$39:$F$39)</f>
        <v>0.9828085403</v>
      </c>
      <c r="E47" s="2">
        <f>SUMPRODUCT($B$37:$F$37, $B$40:$F$40)</f>
        <v>0.9990959463</v>
      </c>
      <c r="F47" s="2">
        <f>SUMPRODUCT($B$37:$F$37, $B$41:$F$41)</f>
        <v>0.993513818</v>
      </c>
      <c r="G47" s="2">
        <f>SUMPRODUCT($B$37:$F$37, $B$42:$F$42)</f>
        <v>0.9961924376</v>
      </c>
    </row>
    <row r="48" ht="15.75" customHeight="1">
      <c r="A48" s="1" t="s">
        <v>21</v>
      </c>
      <c r="B48" s="2">
        <f>SUMPRODUCT($B$38:$F$38, $B$37:$F$37)</f>
        <v>0.984402577</v>
      </c>
      <c r="C48" s="2">
        <f>SUMPRODUCT($B$38:$F$38, $B$38:$F$38)</f>
        <v>1</v>
      </c>
      <c r="D48" s="2">
        <f>SUMPRODUCT($B$38:$F$38, $B$39:$F$39)</f>
        <v>0.9443229826</v>
      </c>
      <c r="E48" s="2">
        <f>SUMPRODUCT($B$38:$F$38, $B$40:$F$40)</f>
        <v>0.9853302169</v>
      </c>
      <c r="F48" s="2">
        <f>SUMPRODUCT($B$38:$F$38, $B$41:$F$41)</f>
        <v>0.9892365038</v>
      </c>
      <c r="G48" s="2">
        <f>SUMPRODUCT($B$38:$F$38, $B$42:$F$42)</f>
        <v>0.9663724871</v>
      </c>
    </row>
    <row r="49" ht="15.75" customHeight="1">
      <c r="A49" s="1" t="s">
        <v>22</v>
      </c>
      <c r="B49" s="2">
        <f>SUMPRODUCT($B$39:$F$39, $B$37:$F$37)</f>
        <v>0.9828085403</v>
      </c>
      <c r="C49" s="2">
        <f>SUMPRODUCT($B$39:$F$39, $B$38:$F$38)</f>
        <v>0.9443229826</v>
      </c>
      <c r="D49" s="2">
        <f>SUMPRODUCT($B$39:$F$39, $B$39:$F$39)</f>
        <v>1</v>
      </c>
      <c r="E49" s="2">
        <f>SUMPRODUCT($B$39:$F$39, $B$40:$F$40)</f>
        <v>0.9786931643</v>
      </c>
      <c r="F49" s="2">
        <f>SUMPRODUCT($B$39:$F$39, $B$41:$F$41)</f>
        <v>0.9631148963</v>
      </c>
      <c r="G49" s="2">
        <f>SUMPRODUCT($B$39:$F$39, $B$42:$F$42)</f>
        <v>0.9928292004</v>
      </c>
    </row>
    <row r="50" ht="15.75" customHeight="1">
      <c r="A50" s="1" t="s">
        <v>23</v>
      </c>
      <c r="B50" s="2">
        <f>SUMPRODUCT($B$40:$F$40, $B$37:$F$37)</f>
        <v>0.9990959463</v>
      </c>
      <c r="C50" s="2">
        <f>SUMPRODUCT($B$40:$F$40, $B$38:$F$38)</f>
        <v>0.9853302169</v>
      </c>
      <c r="D50" s="2">
        <f>SUMPRODUCT($B$40:$F$40, $B$39:$F$39)</f>
        <v>0.9786931643</v>
      </c>
      <c r="E50" s="2">
        <f>SUMPRODUCT($B$40:$F$40, $B$40:$F$40)</f>
        <v>1</v>
      </c>
      <c r="F50" s="2">
        <f>SUMPRODUCT($B$40:$F$40, $B$41:$F$41)</f>
        <v>0.9914786118</v>
      </c>
      <c r="G50" s="2">
        <f>SUMPRODUCT($B$40:$F$40, $B$42:$F$42)</f>
        <v>0.993298393</v>
      </c>
    </row>
    <row r="51" ht="15.75" customHeight="1">
      <c r="A51" s="1" t="s">
        <v>24</v>
      </c>
      <c r="B51" s="2">
        <f>SUMPRODUCT($B$41:$F$41, $B$37:$F$37)</f>
        <v>0.993513818</v>
      </c>
      <c r="C51" s="2">
        <f>SUMPRODUCT($B$41:$F$41, $B$38:$F$38)</f>
        <v>0.9892365038</v>
      </c>
      <c r="D51" s="2">
        <f>SUMPRODUCT($B$41:$F$41, $B$39:$F$39)</f>
        <v>0.9631148963</v>
      </c>
      <c r="E51" s="2">
        <f>SUMPRODUCT($B$41:$F$41, $B$40:$F$40)</f>
        <v>0.9914786118</v>
      </c>
      <c r="F51" s="2">
        <f>SUMPRODUCT($B$41:$F$41, $B$41:$F$41)</f>
        <v>1</v>
      </c>
      <c r="G51" s="2">
        <f>SUMPRODUCT($B$41:$F$41, $B$42:$F$42)</f>
        <v>0.9848065653</v>
      </c>
    </row>
    <row r="52" ht="15.75" customHeight="1">
      <c r="A52" s="1" t="s">
        <v>25</v>
      </c>
      <c r="B52" s="2">
        <f>SUMPRODUCT($B$42:$F$42, $B$37:$F$37)</f>
        <v>0.9961924376</v>
      </c>
      <c r="C52" s="2">
        <f>SUMPRODUCT($B$42:$F$42, $B$38:$F$38)</f>
        <v>0.9663724871</v>
      </c>
      <c r="D52" s="2">
        <f>SUMPRODUCT($B$42:$F$42, $B$39:$F$39)</f>
        <v>0.9928292004</v>
      </c>
      <c r="E52" s="2">
        <f>SUMPRODUCT($B$42:$F$42, $B$40:$F$40)</f>
        <v>0.993298393</v>
      </c>
      <c r="F52" s="2">
        <f>SUMPRODUCT($B$42:$F$42, $B$41:$F$41)</f>
        <v>0.9848065653</v>
      </c>
      <c r="G52" s="2">
        <f>SUMPRODUCT($B$42:$F$42, $B$42:$F$42)</f>
        <v>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2026-10-26T11:59:34Z</dcterms:created>
  <dc:creator>openpyxl</dc:creator>
</cp:coreProperties>
</file>